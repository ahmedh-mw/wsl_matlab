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os\gh\wsl_matlab\Podman\checkpoint\"/>
    </mc:Choice>
  </mc:AlternateContent>
  <xr:revisionPtr revIDLastSave="0" documentId="13_ncr:1_{1D6FC92A-9D56-49A6-9117-10BAFA9444B7}" xr6:coauthVersionLast="47" xr6:coauthVersionMax="47" xr10:uidLastSave="{00000000-0000-0000-0000-000000000000}"/>
  <bookViews>
    <workbookView xWindow="-165" yWindow="-165" windowWidth="29130" windowHeight="15810" activeTab="1" xr2:uid="{A315CC42-590E-42BC-8156-8F74CB38E80D}"/>
  </bookViews>
  <sheets>
    <sheet name="Container Specs" sheetId="2" r:id="rId1"/>
    <sheet name="podman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8" i="1" l="1"/>
  <c r="P35" i="1"/>
  <c r="P34" i="1"/>
  <c r="P39" i="1"/>
  <c r="P37" i="1"/>
  <c r="P36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6" i="1"/>
  <c r="P5" i="1"/>
  <c r="P4" i="1"/>
  <c r="P3" i="1"/>
  <c r="P8" i="1"/>
  <c r="P7" i="1"/>
  <c r="P12" i="1"/>
  <c r="P11" i="1"/>
  <c r="P10" i="1"/>
  <c r="P9" i="1"/>
</calcChain>
</file>

<file path=xl/sharedStrings.xml><?xml version="1.0" encoding="utf-8"?>
<sst xmlns="http://schemas.openxmlformats.org/spreadsheetml/2006/main" count="251" uniqueCount="44">
  <si>
    <t>OS</t>
  </si>
  <si>
    <t>WSL</t>
  </si>
  <si>
    <t>Debian GNU/Linux 13 (trixie)</t>
  </si>
  <si>
    <t>R2024b</t>
  </si>
  <si>
    <t>MATLAB Simulink Simulink_Check Simulink_Design_Verifier Simulink_Report_Generator Simulink_Coder Simulink_Compiler Simulink_Test Embedded_Coder Simulink_Coverage Requirements_Toolbox CI/CD_Automation_for_Simulink_Check</t>
  </si>
  <si>
    <t>Release</t>
  </si>
  <si>
    <t>Products</t>
  </si>
  <si>
    <t>Image size</t>
  </si>
  <si>
    <t>10.6 GB</t>
  </si>
  <si>
    <t>Ubuntu 24.04.3 LTS (Noble Numbat)</t>
  </si>
  <si>
    <t>Exp id</t>
  </si>
  <si>
    <t>NAT</t>
  </si>
  <si>
    <t>None</t>
  </si>
  <si>
    <t>Hyper-V</t>
  </si>
  <si>
    <t>Default</t>
  </si>
  <si>
    <t>12 shared</t>
  </si>
  <si>
    <t>6 dedicated</t>
  </si>
  <si>
    <t>Blocked DNS</t>
  </si>
  <si>
    <t>network=none container</t>
  </si>
  <si>
    <t>Network/Connectivity</t>
  </si>
  <si>
    <t>Server</t>
  </si>
  <si>
    <t>Desktop</t>
  </si>
  <si>
    <t>2 dedicated</t>
  </si>
  <si>
    <t>4 dedicated</t>
  </si>
  <si>
    <t>6 shared</t>
  </si>
  <si>
    <t>Laptop</t>
  </si>
  <si>
    <t>Export</t>
  </si>
  <si>
    <t>Cores</t>
  </si>
  <si>
    <t>RAM GB</t>
  </si>
  <si>
    <t>Container Startup Performance</t>
  </si>
  <si>
    <t>Creation</t>
  </si>
  <si>
    <t>Matlab Start</t>
  </si>
  <si>
    <t>Matlab Init</t>
  </si>
  <si>
    <t>Checkpoint</t>
  </si>
  <si>
    <t>Checkpoint  Total Performance</t>
  </si>
  <si>
    <t>Restore</t>
  </si>
  <si>
    <t>Virtual Machine Resources</t>
  </si>
  <si>
    <t>Virtualization Configuration</t>
  </si>
  <si>
    <t>Type</t>
  </si>
  <si>
    <t>Host Configuration</t>
  </si>
  <si>
    <t>Machine Type</t>
  </si>
  <si>
    <t>V. Type</t>
  </si>
  <si>
    <t>C. Creation</t>
  </si>
  <si>
    <t>C. Ready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</si>
</sst>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3"/>
      <color theme="0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 tint="0.249977111117893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0" fillId="0" borderId="6" xfId="0" applyBorder="1"/>
    <xf numFmtId="0" fontId="0" fillId="4" borderId="0" xfId="0" applyFill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4" borderId="9" xfId="0" applyFill="1" applyBorder="1"/>
    <xf numFmtId="0" fontId="0" fillId="0" borderId="11" xfId="0" applyBorder="1"/>
    <xf numFmtId="0" fontId="0" fillId="4" borderId="2" xfId="0" applyFill="1" applyBorder="1"/>
    <xf numFmtId="0" fontId="0" fillId="5" borderId="5" xfId="0" applyFill="1" applyBorder="1"/>
    <xf numFmtId="0" fontId="0" fillId="5" borderId="4" xfId="0" applyFill="1" applyBorder="1"/>
    <xf numFmtId="0" fontId="0" fillId="6" borderId="0" xfId="0" applyFill="1"/>
    <xf numFmtId="0" fontId="0" fillId="6" borderId="9" xfId="0" applyFill="1" applyBorder="1"/>
    <xf numFmtId="0" fontId="0" fillId="6" borderId="2" xfId="0" applyFill="1" applyBorder="1"/>
    <xf numFmtId="0" fontId="1" fillId="8" borderId="4" xfId="0" applyFont="1" applyFill="1" applyBorder="1"/>
    <xf numFmtId="0" fontId="1" fillId="8" borderId="12" xfId="0" applyFont="1" applyFill="1" applyBorder="1"/>
    <xf numFmtId="0" fontId="1" fillId="2" borderId="12" xfId="0" applyFont="1" applyFill="1" applyBorder="1" applyAlignment="1">
      <alignment wrapText="1"/>
    </xf>
    <xf numFmtId="0" fontId="1" fillId="3" borderId="12" xfId="0" applyFont="1" applyFill="1" applyBorder="1" applyAlignment="1">
      <alignment wrapText="1"/>
    </xf>
    <xf numFmtId="0" fontId="1" fillId="7" borderId="13" xfId="0" applyFont="1" applyFill="1" applyBorder="1"/>
    <xf numFmtId="0" fontId="1" fillId="7" borderId="13" xfId="0" applyFont="1" applyFill="1" applyBorder="1" applyAlignment="1">
      <alignment wrapText="1"/>
    </xf>
    <xf numFmtId="0" fontId="1" fillId="7" borderId="14" xfId="0" applyFont="1" applyFill="1" applyBorder="1" applyAlignment="1">
      <alignment wrapText="1"/>
    </xf>
    <xf numFmtId="0" fontId="1" fillId="7" borderId="15" xfId="0" applyFont="1" applyFill="1" applyBorder="1" applyAlignment="1">
      <alignment wrapText="1"/>
    </xf>
    <xf numFmtId="0" fontId="1" fillId="7" borderId="14" xfId="0" applyFont="1" applyFill="1" applyBorder="1"/>
    <xf numFmtId="0" fontId="1" fillId="7" borderId="12" xfId="0" applyFont="1" applyFill="1" applyBorder="1" applyAlignment="1">
      <alignment wrapText="1"/>
    </xf>
    <xf numFmtId="0" fontId="1" fillId="8" borderId="8" xfId="0" applyFont="1" applyFill="1" applyBorder="1" applyAlignment="1">
      <alignment horizontal="center"/>
    </xf>
    <xf numFmtId="0" fontId="1" fillId="8" borderId="9" xfId="0" applyFont="1" applyFill="1" applyBorder="1" applyAlignment="1">
      <alignment horizontal="center"/>
    </xf>
    <xf numFmtId="0" fontId="1" fillId="8" borderId="10" xfId="0" applyFont="1" applyFill="1" applyBorder="1" applyAlignment="1">
      <alignment horizontal="center"/>
    </xf>
    <xf numFmtId="0" fontId="0" fillId="0" borderId="5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EB242-A9B6-4D95-8933-3A8EAC76E548}">
  <dimension ref="A2:B4"/>
  <sheetViews>
    <sheetView workbookViewId="0">
      <selection activeCell="B8" sqref="B8"/>
    </sheetView>
  </sheetViews>
  <sheetFormatPr defaultRowHeight="14.5" x14ac:dyDescent="0.35"/>
  <cols>
    <col min="1" max="1" width="12.26953125" customWidth="1"/>
    <col min="2" max="2" width="203.453125" bestFit="1" customWidth="1"/>
  </cols>
  <sheetData>
    <row r="2" spans="1:2" x14ac:dyDescent="0.35">
      <c r="A2" t="s">
        <v>5</v>
      </c>
      <c r="B2" t="s">
        <v>3</v>
      </c>
    </row>
    <row r="3" spans="1:2" x14ac:dyDescent="0.35">
      <c r="A3" t="s">
        <v>6</v>
      </c>
      <c r="B3" t="s">
        <v>4</v>
      </c>
    </row>
    <row r="4" spans="1:2" x14ac:dyDescent="0.35">
      <c r="A4" t="s">
        <v>7</v>
      </c>
      <c r="B4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616D3B-31E5-4FA1-9049-E329898F7779}">
  <dimension ref="A1:Q39"/>
  <sheetViews>
    <sheetView tabSelected="1" zoomScale="130" zoomScaleNormal="130" workbookViewId="0">
      <selection activeCell="C33" sqref="C33"/>
    </sheetView>
  </sheetViews>
  <sheetFormatPr defaultRowHeight="14.5" x14ac:dyDescent="0.35"/>
  <cols>
    <col min="1" max="1" width="7.1796875" style="4" bestFit="1" customWidth="1"/>
    <col min="2" max="2" width="8.1796875" style="4" bestFit="1" customWidth="1"/>
    <col min="3" max="3" width="9.26953125" customWidth="1"/>
    <col min="4" max="4" width="11.54296875" style="5" customWidth="1"/>
    <col min="5" max="5" width="14.7265625" bestFit="1" customWidth="1"/>
    <col min="6" max="6" width="10.26953125" customWidth="1"/>
    <col min="7" max="7" width="32.7265625" bestFit="1" customWidth="1"/>
    <col min="8" max="8" width="22.81640625" bestFit="1" customWidth="1"/>
    <col min="9" max="9" width="17.1796875" style="4" customWidth="1"/>
    <col min="10" max="10" width="14.26953125" style="5" customWidth="1"/>
    <col min="11" max="11" width="14.7265625" style="4" customWidth="1"/>
    <col min="12" max="12" width="15.1796875" customWidth="1"/>
    <col min="13" max="13" width="14.26953125" customWidth="1"/>
    <col min="14" max="14" width="10.54296875" customWidth="1"/>
    <col min="15" max="15" width="15.1796875" style="6" customWidth="1"/>
    <col min="16" max="16" width="14" style="6" customWidth="1"/>
    <col min="17" max="17" width="19.81640625" style="6" customWidth="1"/>
  </cols>
  <sheetData>
    <row r="1" spans="1:17" ht="17.5" thickBot="1" x14ac:dyDescent="0.45">
      <c r="A1" s="20"/>
      <c r="B1" s="30" t="s">
        <v>39</v>
      </c>
      <c r="C1" s="31"/>
      <c r="D1" s="32"/>
      <c r="E1" s="30" t="s">
        <v>37</v>
      </c>
      <c r="F1" s="31"/>
      <c r="G1" s="31"/>
      <c r="H1" s="32"/>
      <c r="I1" s="30" t="s">
        <v>36</v>
      </c>
      <c r="J1" s="32"/>
      <c r="K1" s="30" t="s">
        <v>29</v>
      </c>
      <c r="L1" s="31"/>
      <c r="M1" s="31"/>
      <c r="N1" s="31"/>
      <c r="O1" s="21" t="s">
        <v>33</v>
      </c>
      <c r="P1" s="30" t="s">
        <v>34</v>
      </c>
      <c r="Q1" s="32"/>
    </row>
    <row r="2" spans="1:17" ht="21.75" customHeight="1" thickBot="1" x14ac:dyDescent="0.45">
      <c r="A2" s="24" t="s">
        <v>10</v>
      </c>
      <c r="B2" s="25" t="s">
        <v>38</v>
      </c>
      <c r="C2" s="26" t="s">
        <v>27</v>
      </c>
      <c r="D2" s="27" t="s">
        <v>28</v>
      </c>
      <c r="E2" s="28" t="s">
        <v>40</v>
      </c>
      <c r="F2" s="28" t="s">
        <v>41</v>
      </c>
      <c r="G2" s="28" t="s">
        <v>0</v>
      </c>
      <c r="H2" s="28" t="s">
        <v>19</v>
      </c>
      <c r="I2" s="25" t="s">
        <v>27</v>
      </c>
      <c r="J2" s="27" t="s">
        <v>28</v>
      </c>
      <c r="K2" s="25" t="s">
        <v>42</v>
      </c>
      <c r="L2" s="26" t="s">
        <v>31</v>
      </c>
      <c r="M2" s="26" t="s">
        <v>32</v>
      </c>
      <c r="N2" s="26" t="s">
        <v>43</v>
      </c>
      <c r="O2" s="29" t="s">
        <v>26</v>
      </c>
      <c r="P2" s="22" t="s">
        <v>30</v>
      </c>
      <c r="Q2" s="23" t="s">
        <v>35</v>
      </c>
    </row>
    <row r="3" spans="1:17" x14ac:dyDescent="0.35">
      <c r="A3" s="1">
        <v>1</v>
      </c>
      <c r="B3" s="1" t="s">
        <v>25</v>
      </c>
      <c r="C3" s="2">
        <v>12</v>
      </c>
      <c r="D3" s="3">
        <v>32</v>
      </c>
      <c r="E3" s="2" t="s">
        <v>20</v>
      </c>
      <c r="F3" s="2" t="s">
        <v>1</v>
      </c>
      <c r="G3" s="2" t="s">
        <v>2</v>
      </c>
      <c r="H3" s="2" t="s">
        <v>11</v>
      </c>
      <c r="I3" s="1" t="s">
        <v>15</v>
      </c>
      <c r="J3" s="3">
        <v>16</v>
      </c>
      <c r="K3" s="1">
        <v>0.28399999999999997</v>
      </c>
      <c r="L3" s="2">
        <v>22.867999999999999</v>
      </c>
      <c r="M3" s="2">
        <v>24.041</v>
      </c>
      <c r="N3" s="2">
        <v>106.943</v>
      </c>
      <c r="O3" s="7">
        <v>8.6340000000000003</v>
      </c>
      <c r="P3" s="7">
        <f t="shared" ref="P3:P31" si="0">SUM(K3:O3)</f>
        <v>162.76999999999998</v>
      </c>
      <c r="Q3" s="7">
        <v>5.28</v>
      </c>
    </row>
    <row r="4" spans="1:17" x14ac:dyDescent="0.35">
      <c r="A4" s="4">
        <v>2</v>
      </c>
      <c r="B4" s="4" t="s">
        <v>25</v>
      </c>
      <c r="C4">
        <v>12</v>
      </c>
      <c r="D4" s="5">
        <v>32</v>
      </c>
      <c r="E4" t="s">
        <v>20</v>
      </c>
      <c r="F4" t="s">
        <v>1</v>
      </c>
      <c r="G4" t="s">
        <v>2</v>
      </c>
      <c r="H4" t="s">
        <v>11</v>
      </c>
      <c r="I4" s="4" t="s">
        <v>15</v>
      </c>
      <c r="J4" s="5">
        <v>16</v>
      </c>
      <c r="K4" s="4">
        <v>0.28899999999999998</v>
      </c>
      <c r="L4">
        <v>22.488</v>
      </c>
      <c r="M4">
        <v>22.381</v>
      </c>
      <c r="N4">
        <v>107.58199999999999</v>
      </c>
      <c r="O4" s="6">
        <v>8.3789999999999996</v>
      </c>
      <c r="P4" s="6">
        <f t="shared" si="0"/>
        <v>161.119</v>
      </c>
      <c r="Q4" s="6">
        <v>5.2009999999999996</v>
      </c>
    </row>
    <row r="5" spans="1:17" x14ac:dyDescent="0.35">
      <c r="A5" s="4">
        <v>3</v>
      </c>
      <c r="B5" s="4" t="s">
        <v>25</v>
      </c>
      <c r="C5">
        <v>12</v>
      </c>
      <c r="D5" s="5">
        <v>32</v>
      </c>
      <c r="E5" t="s">
        <v>20</v>
      </c>
      <c r="F5" t="s">
        <v>1</v>
      </c>
      <c r="G5" t="s">
        <v>2</v>
      </c>
      <c r="H5" s="17" t="s">
        <v>12</v>
      </c>
      <c r="I5" s="4" t="s">
        <v>15</v>
      </c>
      <c r="J5" s="5">
        <v>16</v>
      </c>
      <c r="K5" s="4">
        <v>0.39400000000000002</v>
      </c>
      <c r="L5">
        <v>22.462</v>
      </c>
      <c r="M5">
        <v>22.952999999999999</v>
      </c>
      <c r="N5" s="8">
        <v>0.16600000000000001</v>
      </c>
      <c r="O5" s="6">
        <v>8.0779999999999994</v>
      </c>
      <c r="P5" s="6">
        <f t="shared" si="0"/>
        <v>54.052999999999997</v>
      </c>
      <c r="Q5" s="6">
        <v>4.4400000000000004</v>
      </c>
    </row>
    <row r="6" spans="1:17" ht="15" thickBot="1" x14ac:dyDescent="0.4">
      <c r="A6" s="9">
        <v>4</v>
      </c>
      <c r="B6" s="9" t="s">
        <v>25</v>
      </c>
      <c r="C6" s="10">
        <v>12</v>
      </c>
      <c r="D6" s="11">
        <v>32</v>
      </c>
      <c r="E6" s="10" t="s">
        <v>20</v>
      </c>
      <c r="F6" s="10" t="s">
        <v>1</v>
      </c>
      <c r="G6" s="10" t="s">
        <v>2</v>
      </c>
      <c r="H6" s="18" t="s">
        <v>12</v>
      </c>
      <c r="I6" s="9" t="s">
        <v>15</v>
      </c>
      <c r="J6" s="11">
        <v>16</v>
      </c>
      <c r="K6" s="9">
        <v>0.26600000000000001</v>
      </c>
      <c r="L6" s="10">
        <v>21.591000000000001</v>
      </c>
      <c r="M6" s="10">
        <v>17.53</v>
      </c>
      <c r="N6" s="12">
        <v>0.159</v>
      </c>
      <c r="O6" s="13">
        <v>8.2539999999999996</v>
      </c>
      <c r="P6" s="13">
        <f t="shared" si="0"/>
        <v>47.8</v>
      </c>
      <c r="Q6" s="13">
        <v>4.3239999999999998</v>
      </c>
    </row>
    <row r="7" spans="1:17" x14ac:dyDescent="0.35">
      <c r="A7" s="1">
        <v>5</v>
      </c>
      <c r="B7" s="1" t="s">
        <v>25</v>
      </c>
      <c r="C7" s="2">
        <v>12</v>
      </c>
      <c r="D7" s="3">
        <v>32</v>
      </c>
      <c r="E7" s="2" t="s">
        <v>20</v>
      </c>
      <c r="F7" s="2" t="s">
        <v>1</v>
      </c>
      <c r="G7" s="2" t="s">
        <v>9</v>
      </c>
      <c r="H7" s="2" t="s">
        <v>11</v>
      </c>
      <c r="I7" s="1" t="s">
        <v>15</v>
      </c>
      <c r="J7" s="3">
        <v>16</v>
      </c>
      <c r="K7" s="1">
        <v>0.33200000000000002</v>
      </c>
      <c r="L7" s="2">
        <v>22.003</v>
      </c>
      <c r="M7" s="2">
        <v>21.396000000000001</v>
      </c>
      <c r="N7" s="2">
        <v>110.19499999999999</v>
      </c>
      <c r="O7" s="7">
        <v>8.2080000000000002</v>
      </c>
      <c r="P7" s="7">
        <f t="shared" si="0"/>
        <v>162.13399999999999</v>
      </c>
      <c r="Q7" s="7">
        <v>4.1660000000000004</v>
      </c>
    </row>
    <row r="8" spans="1:17" x14ac:dyDescent="0.35">
      <c r="A8" s="4">
        <v>6</v>
      </c>
      <c r="B8" s="4" t="s">
        <v>25</v>
      </c>
      <c r="C8">
        <v>12</v>
      </c>
      <c r="D8" s="5">
        <v>32</v>
      </c>
      <c r="E8" t="s">
        <v>20</v>
      </c>
      <c r="F8" t="s">
        <v>1</v>
      </c>
      <c r="G8" t="s">
        <v>9</v>
      </c>
      <c r="H8" t="s">
        <v>11</v>
      </c>
      <c r="I8" s="4" t="s">
        <v>15</v>
      </c>
      <c r="J8" s="5">
        <v>16</v>
      </c>
      <c r="K8" s="4">
        <v>0.223</v>
      </c>
      <c r="L8">
        <v>16.728999999999999</v>
      </c>
      <c r="M8">
        <v>17.53</v>
      </c>
      <c r="N8">
        <v>119.747</v>
      </c>
      <c r="O8" s="6">
        <v>8.6630000000000003</v>
      </c>
      <c r="P8" s="6">
        <f t="shared" si="0"/>
        <v>162.892</v>
      </c>
      <c r="Q8" s="6">
        <v>4.3150000000000004</v>
      </c>
    </row>
    <row r="9" spans="1:17" x14ac:dyDescent="0.35">
      <c r="A9" s="4">
        <v>7</v>
      </c>
      <c r="B9" s="4" t="s">
        <v>25</v>
      </c>
      <c r="C9">
        <v>12</v>
      </c>
      <c r="D9" s="5">
        <v>32</v>
      </c>
      <c r="E9" t="s">
        <v>20</v>
      </c>
      <c r="F9" t="s">
        <v>1</v>
      </c>
      <c r="G9" t="s">
        <v>9</v>
      </c>
      <c r="H9" s="17" t="s">
        <v>12</v>
      </c>
      <c r="I9" s="4" t="s">
        <v>15</v>
      </c>
      <c r="J9" s="5">
        <v>16</v>
      </c>
      <c r="K9" s="4">
        <v>0.22900000000000001</v>
      </c>
      <c r="L9">
        <v>20.186</v>
      </c>
      <c r="M9">
        <v>20.210999999999999</v>
      </c>
      <c r="N9" s="8">
        <v>0.185</v>
      </c>
      <c r="O9" s="6">
        <v>7.891</v>
      </c>
      <c r="P9" s="6">
        <f t="shared" si="0"/>
        <v>48.701999999999998</v>
      </c>
      <c r="Q9" s="6">
        <v>6.798</v>
      </c>
    </row>
    <row r="10" spans="1:17" x14ac:dyDescent="0.35">
      <c r="A10" s="4">
        <v>8</v>
      </c>
      <c r="B10" s="4" t="s">
        <v>25</v>
      </c>
      <c r="C10">
        <v>12</v>
      </c>
      <c r="D10" s="5">
        <v>32</v>
      </c>
      <c r="E10" t="s">
        <v>20</v>
      </c>
      <c r="F10" t="s">
        <v>1</v>
      </c>
      <c r="G10" t="s">
        <v>9</v>
      </c>
      <c r="H10" s="17" t="s">
        <v>12</v>
      </c>
      <c r="I10" s="4" t="s">
        <v>15</v>
      </c>
      <c r="J10" s="5">
        <v>16</v>
      </c>
      <c r="K10" s="4">
        <v>0.218</v>
      </c>
      <c r="L10">
        <v>25.228000000000002</v>
      </c>
      <c r="M10">
        <v>21.533000000000001</v>
      </c>
      <c r="N10" s="8">
        <v>0.153</v>
      </c>
      <c r="O10" s="6">
        <v>7.8659999999999997</v>
      </c>
      <c r="P10" s="6">
        <f t="shared" si="0"/>
        <v>54.997999999999998</v>
      </c>
      <c r="Q10" s="6">
        <v>4.1909999999999998</v>
      </c>
    </row>
    <row r="11" spans="1:17" x14ac:dyDescent="0.35">
      <c r="A11" s="4">
        <v>9</v>
      </c>
      <c r="B11" s="4" t="s">
        <v>25</v>
      </c>
      <c r="C11">
        <v>12</v>
      </c>
      <c r="D11" s="5">
        <v>32</v>
      </c>
      <c r="E11" t="s">
        <v>20</v>
      </c>
      <c r="F11" t="s">
        <v>1</v>
      </c>
      <c r="G11" t="s">
        <v>9</v>
      </c>
      <c r="H11" s="17" t="s">
        <v>12</v>
      </c>
      <c r="I11" s="4" t="s">
        <v>15</v>
      </c>
      <c r="J11" s="5">
        <v>16</v>
      </c>
      <c r="K11" s="4">
        <v>0.216</v>
      </c>
      <c r="L11">
        <v>26.087</v>
      </c>
      <c r="M11">
        <v>18.524999999999999</v>
      </c>
      <c r="N11" s="8">
        <v>0.14799999999999999</v>
      </c>
      <c r="O11" s="6">
        <v>8.2249999999999996</v>
      </c>
      <c r="P11" s="6">
        <f t="shared" si="0"/>
        <v>53.201000000000008</v>
      </c>
      <c r="Q11" s="6">
        <v>4.327</v>
      </c>
    </row>
    <row r="12" spans="1:17" ht="15" thickBot="1" x14ac:dyDescent="0.4">
      <c r="A12" s="9">
        <v>10</v>
      </c>
      <c r="B12" s="9" t="s">
        <v>25</v>
      </c>
      <c r="C12" s="10">
        <v>12</v>
      </c>
      <c r="D12" s="11">
        <v>32</v>
      </c>
      <c r="E12" s="10" t="s">
        <v>20</v>
      </c>
      <c r="F12" s="10" t="s">
        <v>1</v>
      </c>
      <c r="G12" s="10" t="s">
        <v>9</v>
      </c>
      <c r="H12" s="18" t="s">
        <v>12</v>
      </c>
      <c r="I12" s="9" t="s">
        <v>15</v>
      </c>
      <c r="J12" s="11">
        <v>16</v>
      </c>
      <c r="K12" s="9">
        <v>0.217</v>
      </c>
      <c r="L12" s="10">
        <v>26.26</v>
      </c>
      <c r="M12" s="10">
        <v>17.553000000000001</v>
      </c>
      <c r="N12" s="12">
        <v>0.152</v>
      </c>
      <c r="O12" s="13">
        <v>7.806</v>
      </c>
      <c r="P12" s="13">
        <f t="shared" si="0"/>
        <v>51.988</v>
      </c>
      <c r="Q12" s="13">
        <v>4.2160000000000002</v>
      </c>
    </row>
    <row r="13" spans="1:17" x14ac:dyDescent="0.35">
      <c r="A13" s="4">
        <v>11</v>
      </c>
      <c r="B13" s="4" t="s">
        <v>25</v>
      </c>
      <c r="C13">
        <v>12</v>
      </c>
      <c r="D13" s="5">
        <v>32</v>
      </c>
      <c r="E13" t="s">
        <v>21</v>
      </c>
      <c r="F13" t="s">
        <v>13</v>
      </c>
      <c r="G13" t="s">
        <v>2</v>
      </c>
      <c r="H13" t="s">
        <v>14</v>
      </c>
      <c r="I13" s="4" t="s">
        <v>16</v>
      </c>
      <c r="J13" s="5">
        <v>16</v>
      </c>
      <c r="K13" s="4">
        <v>0.24199999999999999</v>
      </c>
      <c r="L13">
        <v>8.0519999999999996</v>
      </c>
      <c r="M13">
        <v>20.722000000000001</v>
      </c>
      <c r="N13">
        <v>122.315</v>
      </c>
      <c r="O13" s="6">
        <v>5.4</v>
      </c>
      <c r="P13" s="6">
        <f t="shared" si="0"/>
        <v>156.73099999999999</v>
      </c>
      <c r="Q13" s="6">
        <v>2.2349999999999999</v>
      </c>
    </row>
    <row r="14" spans="1:17" x14ac:dyDescent="0.35">
      <c r="A14" s="4">
        <v>12</v>
      </c>
      <c r="B14" s="4" t="s">
        <v>25</v>
      </c>
      <c r="C14">
        <v>12</v>
      </c>
      <c r="D14" s="5">
        <v>32</v>
      </c>
      <c r="E14" t="s">
        <v>21</v>
      </c>
      <c r="F14" t="s">
        <v>13</v>
      </c>
      <c r="G14" t="s">
        <v>2</v>
      </c>
      <c r="H14" t="s">
        <v>14</v>
      </c>
      <c r="I14" s="4" t="s">
        <v>16</v>
      </c>
      <c r="J14" s="5">
        <v>16</v>
      </c>
      <c r="K14" s="4">
        <v>0.192</v>
      </c>
      <c r="L14">
        <v>6.01</v>
      </c>
      <c r="M14">
        <v>16.042000000000002</v>
      </c>
      <c r="N14">
        <v>129.602</v>
      </c>
      <c r="O14" s="6">
        <v>5.3129999999999997</v>
      </c>
      <c r="P14" s="6">
        <f t="shared" si="0"/>
        <v>157.15899999999999</v>
      </c>
      <c r="Q14" s="6">
        <v>2.3490000000000002</v>
      </c>
    </row>
    <row r="15" spans="1:17" x14ac:dyDescent="0.35">
      <c r="A15" s="4">
        <v>13</v>
      </c>
      <c r="B15" s="4" t="s">
        <v>25</v>
      </c>
      <c r="C15">
        <v>12</v>
      </c>
      <c r="D15" s="5">
        <v>32</v>
      </c>
      <c r="E15" t="s">
        <v>21</v>
      </c>
      <c r="F15" t="s">
        <v>13</v>
      </c>
      <c r="G15" t="s">
        <v>2</v>
      </c>
      <c r="H15" s="17" t="s">
        <v>12</v>
      </c>
      <c r="I15" s="4" t="s">
        <v>16</v>
      </c>
      <c r="J15" s="5">
        <v>16</v>
      </c>
      <c r="K15" s="4">
        <v>0.20100000000000001</v>
      </c>
      <c r="L15">
        <v>16.102</v>
      </c>
      <c r="M15">
        <v>16.632999999999999</v>
      </c>
      <c r="N15" s="8">
        <v>0.159</v>
      </c>
      <c r="O15" s="6">
        <v>5.6420000000000003</v>
      </c>
      <c r="P15" s="6">
        <f t="shared" si="0"/>
        <v>38.737000000000002</v>
      </c>
      <c r="Q15" s="6">
        <v>2.2639999999999998</v>
      </c>
    </row>
    <row r="16" spans="1:17" x14ac:dyDescent="0.35">
      <c r="A16" s="4">
        <v>14</v>
      </c>
      <c r="B16" s="4" t="s">
        <v>25</v>
      </c>
      <c r="C16">
        <v>12</v>
      </c>
      <c r="D16" s="5">
        <v>32</v>
      </c>
      <c r="E16" t="s">
        <v>21</v>
      </c>
      <c r="F16" t="s">
        <v>13</v>
      </c>
      <c r="G16" t="s">
        <v>2</v>
      </c>
      <c r="H16" s="17" t="s">
        <v>12</v>
      </c>
      <c r="I16" s="4" t="s">
        <v>16</v>
      </c>
      <c r="J16" s="5">
        <v>16</v>
      </c>
      <c r="K16" s="4">
        <v>0.19600000000000001</v>
      </c>
      <c r="L16">
        <v>15.851000000000001</v>
      </c>
      <c r="M16">
        <v>16.501000000000001</v>
      </c>
      <c r="N16" s="8">
        <v>0.17299999999999999</v>
      </c>
      <c r="O16" s="6">
        <v>5.1479999999999997</v>
      </c>
      <c r="P16" s="6">
        <f t="shared" si="0"/>
        <v>37.869</v>
      </c>
      <c r="Q16" s="6">
        <v>2.3069999999999999</v>
      </c>
    </row>
    <row r="17" spans="1:17" x14ac:dyDescent="0.35">
      <c r="A17" s="4">
        <v>15</v>
      </c>
      <c r="B17" s="4" t="s">
        <v>25</v>
      </c>
      <c r="C17">
        <v>12</v>
      </c>
      <c r="D17" s="5">
        <v>32</v>
      </c>
      <c r="E17" t="s">
        <v>20</v>
      </c>
      <c r="F17" t="s">
        <v>13</v>
      </c>
      <c r="G17" t="s">
        <v>2</v>
      </c>
      <c r="H17" t="s">
        <v>14</v>
      </c>
      <c r="I17" s="4" t="s">
        <v>16</v>
      </c>
      <c r="J17" s="5">
        <v>16</v>
      </c>
      <c r="K17" s="4">
        <v>0.247</v>
      </c>
      <c r="L17">
        <v>7.4039999999999999</v>
      </c>
      <c r="M17">
        <v>18.693000000000001</v>
      </c>
      <c r="N17">
        <v>125.29600000000001</v>
      </c>
      <c r="O17" s="6">
        <v>6.5819999999999999</v>
      </c>
      <c r="P17" s="6">
        <f t="shared" si="0"/>
        <v>158.22200000000001</v>
      </c>
      <c r="Q17" s="6">
        <v>2.3119999999999998</v>
      </c>
    </row>
    <row r="18" spans="1:17" x14ac:dyDescent="0.35">
      <c r="A18" s="4">
        <v>16</v>
      </c>
      <c r="B18" s="4" t="s">
        <v>25</v>
      </c>
      <c r="C18">
        <v>12</v>
      </c>
      <c r="D18" s="5">
        <v>32</v>
      </c>
      <c r="E18" t="s">
        <v>20</v>
      </c>
      <c r="F18" t="s">
        <v>13</v>
      </c>
      <c r="G18" t="s">
        <v>2</v>
      </c>
      <c r="H18" t="s">
        <v>17</v>
      </c>
      <c r="I18" s="4" t="s">
        <v>16</v>
      </c>
      <c r="J18" s="5">
        <v>16</v>
      </c>
      <c r="K18" s="4">
        <v>0.20699999999999999</v>
      </c>
      <c r="L18">
        <v>6.1920000000000002</v>
      </c>
      <c r="M18">
        <v>17.716000000000001</v>
      </c>
      <c r="N18">
        <v>126.42700000000001</v>
      </c>
      <c r="O18" s="6">
        <v>5.4610000000000003</v>
      </c>
      <c r="P18" s="6">
        <f t="shared" si="0"/>
        <v>156.00300000000001</v>
      </c>
      <c r="Q18" s="6">
        <v>2.472</v>
      </c>
    </row>
    <row r="19" spans="1:17" x14ac:dyDescent="0.35">
      <c r="A19" s="4">
        <v>17</v>
      </c>
      <c r="B19" s="4" t="s">
        <v>25</v>
      </c>
      <c r="C19">
        <v>12</v>
      </c>
      <c r="D19" s="5">
        <v>32</v>
      </c>
      <c r="E19" t="s">
        <v>20</v>
      </c>
      <c r="F19" t="s">
        <v>13</v>
      </c>
      <c r="G19" t="s">
        <v>2</v>
      </c>
      <c r="H19" s="17" t="s">
        <v>18</v>
      </c>
      <c r="I19" s="4" t="s">
        <v>16</v>
      </c>
      <c r="J19" s="5">
        <v>16</v>
      </c>
      <c r="K19" s="4">
        <v>0.15</v>
      </c>
      <c r="L19">
        <v>5.7679999999999998</v>
      </c>
      <c r="M19">
        <v>16.719000000000001</v>
      </c>
      <c r="N19" s="8">
        <v>0.20599999999999999</v>
      </c>
      <c r="O19" s="6">
        <v>5.2809999999999997</v>
      </c>
      <c r="P19" s="6">
        <f t="shared" si="0"/>
        <v>28.123999999999999</v>
      </c>
      <c r="Q19" s="6">
        <v>2.4420000000000002</v>
      </c>
    </row>
    <row r="20" spans="1:17" x14ac:dyDescent="0.35">
      <c r="A20" s="4">
        <v>18</v>
      </c>
      <c r="B20" s="4" t="s">
        <v>25</v>
      </c>
      <c r="C20">
        <v>12</v>
      </c>
      <c r="D20" s="5">
        <v>32</v>
      </c>
      <c r="E20" t="s">
        <v>20</v>
      </c>
      <c r="F20" t="s">
        <v>13</v>
      </c>
      <c r="G20" t="s">
        <v>2</v>
      </c>
      <c r="H20" s="17" t="s">
        <v>18</v>
      </c>
      <c r="I20" s="4" t="s">
        <v>16</v>
      </c>
      <c r="J20" s="5">
        <v>16</v>
      </c>
      <c r="K20" s="4">
        <v>0.14399999999999999</v>
      </c>
      <c r="L20">
        <v>5.8140000000000001</v>
      </c>
      <c r="M20">
        <v>16.262</v>
      </c>
      <c r="N20" s="8">
        <v>0.183</v>
      </c>
      <c r="O20" s="6">
        <v>5.0250000000000004</v>
      </c>
      <c r="P20" s="6">
        <f t="shared" si="0"/>
        <v>27.427999999999997</v>
      </c>
      <c r="Q20" s="6">
        <v>2.6160000000000001</v>
      </c>
    </row>
    <row r="21" spans="1:17" ht="15" thickBot="1" x14ac:dyDescent="0.4">
      <c r="A21" s="4">
        <v>20</v>
      </c>
      <c r="B21" s="4" t="s">
        <v>25</v>
      </c>
      <c r="C21">
        <v>12</v>
      </c>
      <c r="D21" s="5">
        <v>32</v>
      </c>
      <c r="E21" t="s">
        <v>20</v>
      </c>
      <c r="F21" t="s">
        <v>13</v>
      </c>
      <c r="G21" t="s">
        <v>2</v>
      </c>
      <c r="H21" s="17" t="s">
        <v>18</v>
      </c>
      <c r="I21" s="4" t="s">
        <v>16</v>
      </c>
      <c r="J21" s="5">
        <v>16</v>
      </c>
      <c r="K21" s="4">
        <v>0.17499999999999999</v>
      </c>
      <c r="L21">
        <v>9.6530000000000005</v>
      </c>
      <c r="M21">
        <v>17.888999999999999</v>
      </c>
      <c r="N21" s="8">
        <v>0.18</v>
      </c>
      <c r="O21" s="6">
        <v>4.78</v>
      </c>
      <c r="P21" s="6">
        <f t="shared" si="0"/>
        <v>32.677</v>
      </c>
      <c r="Q21" s="6">
        <v>2.0110000000000001</v>
      </c>
    </row>
    <row r="22" spans="1:17" x14ac:dyDescent="0.35">
      <c r="A22" s="1">
        <v>21</v>
      </c>
      <c r="B22" s="1" t="s">
        <v>25</v>
      </c>
      <c r="C22" s="2">
        <v>12</v>
      </c>
      <c r="D22" s="3">
        <v>32</v>
      </c>
      <c r="E22" s="2" t="s">
        <v>20</v>
      </c>
      <c r="F22" s="2" t="s">
        <v>13</v>
      </c>
      <c r="G22" s="2" t="s">
        <v>9</v>
      </c>
      <c r="H22" s="19" t="s">
        <v>18</v>
      </c>
      <c r="I22" s="1" t="s">
        <v>16</v>
      </c>
      <c r="J22" s="3">
        <v>16</v>
      </c>
      <c r="K22" s="1">
        <v>0.14199999999999999</v>
      </c>
      <c r="L22" s="2">
        <v>10.61</v>
      </c>
      <c r="M22" s="2">
        <v>18.876000000000001</v>
      </c>
      <c r="N22" s="14">
        <v>0.13900000000000001</v>
      </c>
      <c r="O22" s="7">
        <v>4.9509999999999996</v>
      </c>
      <c r="P22" s="7">
        <f t="shared" si="0"/>
        <v>34.717999999999996</v>
      </c>
      <c r="Q22" s="7">
        <v>2.407</v>
      </c>
    </row>
    <row r="23" spans="1:17" x14ac:dyDescent="0.35">
      <c r="A23" s="4">
        <v>22</v>
      </c>
      <c r="B23" s="4" t="s">
        <v>25</v>
      </c>
      <c r="C23">
        <v>12</v>
      </c>
      <c r="D23" s="5">
        <v>32</v>
      </c>
      <c r="E23" t="s">
        <v>20</v>
      </c>
      <c r="F23" t="s">
        <v>13</v>
      </c>
      <c r="G23" t="s">
        <v>9</v>
      </c>
      <c r="H23" s="17" t="s">
        <v>18</v>
      </c>
      <c r="I23" s="4" t="s">
        <v>16</v>
      </c>
      <c r="J23" s="5">
        <v>16</v>
      </c>
      <c r="K23" s="4">
        <v>0.187</v>
      </c>
      <c r="L23">
        <v>10.212</v>
      </c>
      <c r="M23">
        <v>19.286000000000001</v>
      </c>
      <c r="N23" s="8">
        <v>0.14899999999999999</v>
      </c>
      <c r="O23" s="6">
        <v>5.2309999999999999</v>
      </c>
      <c r="P23" s="6">
        <f t="shared" si="0"/>
        <v>35.065000000000005</v>
      </c>
      <c r="Q23" s="6">
        <v>2.468</v>
      </c>
    </row>
    <row r="24" spans="1:17" x14ac:dyDescent="0.35">
      <c r="A24" s="4">
        <v>23</v>
      </c>
      <c r="B24" s="4" t="s">
        <v>25</v>
      </c>
      <c r="C24">
        <v>12</v>
      </c>
      <c r="D24" s="5">
        <v>32</v>
      </c>
      <c r="E24" t="s">
        <v>20</v>
      </c>
      <c r="F24" t="s">
        <v>13</v>
      </c>
      <c r="G24" t="s">
        <v>9</v>
      </c>
      <c r="H24" s="17" t="s">
        <v>18</v>
      </c>
      <c r="I24" s="4" t="s">
        <v>22</v>
      </c>
      <c r="J24" s="15">
        <v>2</v>
      </c>
      <c r="K24" s="4">
        <v>0.15</v>
      </c>
      <c r="L24">
        <v>9.9580000000000002</v>
      </c>
      <c r="M24">
        <v>23.631</v>
      </c>
      <c r="N24" s="8">
        <v>0.16400000000000001</v>
      </c>
      <c r="O24" s="6">
        <v>9.6110000000000007</v>
      </c>
      <c r="P24" s="6">
        <f t="shared" si="0"/>
        <v>43.51400000000001</v>
      </c>
      <c r="Q24" s="6">
        <v>5.4290000000000003</v>
      </c>
    </row>
    <row r="25" spans="1:17" x14ac:dyDescent="0.35">
      <c r="A25" s="4">
        <v>24</v>
      </c>
      <c r="B25" s="4" t="s">
        <v>25</v>
      </c>
      <c r="C25">
        <v>12</v>
      </c>
      <c r="D25" s="5">
        <v>32</v>
      </c>
      <c r="E25" t="s">
        <v>20</v>
      </c>
      <c r="F25" t="s">
        <v>13</v>
      </c>
      <c r="G25" t="s">
        <v>9</v>
      </c>
      <c r="H25" s="17" t="s">
        <v>18</v>
      </c>
      <c r="I25" s="4" t="s">
        <v>23</v>
      </c>
      <c r="J25" s="15">
        <v>2</v>
      </c>
      <c r="K25" s="4">
        <v>0.20100000000000001</v>
      </c>
      <c r="L25">
        <v>10.192</v>
      </c>
      <c r="M25">
        <v>22.803000000000001</v>
      </c>
      <c r="N25" s="8">
        <v>0.19500000000000001</v>
      </c>
      <c r="O25" s="6">
        <v>10.141999999999999</v>
      </c>
      <c r="P25" s="6">
        <f t="shared" si="0"/>
        <v>43.533000000000001</v>
      </c>
      <c r="Q25" s="6">
        <v>5.5380000000000003</v>
      </c>
    </row>
    <row r="26" spans="1:17" x14ac:dyDescent="0.35">
      <c r="A26" s="4">
        <v>25</v>
      </c>
      <c r="B26" s="4" t="s">
        <v>25</v>
      </c>
      <c r="C26">
        <v>12</v>
      </c>
      <c r="D26" s="5">
        <v>32</v>
      </c>
      <c r="E26" t="s">
        <v>20</v>
      </c>
      <c r="F26" t="s">
        <v>13</v>
      </c>
      <c r="G26" t="s">
        <v>9</v>
      </c>
      <c r="H26" s="17" t="s">
        <v>18</v>
      </c>
      <c r="I26" s="16" t="s">
        <v>22</v>
      </c>
      <c r="J26" s="5">
        <v>4</v>
      </c>
      <c r="K26" s="4">
        <v>0.222</v>
      </c>
      <c r="L26">
        <v>10.558999999999999</v>
      </c>
      <c r="M26">
        <v>19.690999999999999</v>
      </c>
      <c r="N26" s="8">
        <v>0.14699999999999999</v>
      </c>
      <c r="O26" s="6">
        <v>5.2839999999999998</v>
      </c>
      <c r="P26" s="6">
        <f t="shared" si="0"/>
        <v>35.902999999999999</v>
      </c>
      <c r="Q26" s="6">
        <v>2.9910000000000001</v>
      </c>
    </row>
    <row r="27" spans="1:17" x14ac:dyDescent="0.35">
      <c r="A27" s="4">
        <v>26</v>
      </c>
      <c r="B27" s="4" t="s">
        <v>25</v>
      </c>
      <c r="C27">
        <v>12</v>
      </c>
      <c r="D27" s="5">
        <v>32</v>
      </c>
      <c r="E27" t="s">
        <v>20</v>
      </c>
      <c r="F27" t="s">
        <v>13</v>
      </c>
      <c r="G27" t="s">
        <v>9</v>
      </c>
      <c r="H27" s="17" t="s">
        <v>18</v>
      </c>
      <c r="I27" s="16" t="s">
        <v>22</v>
      </c>
      <c r="J27" s="5">
        <v>6</v>
      </c>
      <c r="K27" s="4">
        <v>0.22700000000000001</v>
      </c>
      <c r="L27">
        <v>10.833</v>
      </c>
      <c r="M27">
        <v>18.408000000000001</v>
      </c>
      <c r="N27" s="8">
        <v>0.15</v>
      </c>
      <c r="O27" s="6">
        <v>4.8209999999999997</v>
      </c>
      <c r="P27" s="6">
        <f t="shared" si="0"/>
        <v>34.439</v>
      </c>
      <c r="Q27" s="6">
        <v>2.7370000000000001</v>
      </c>
    </row>
    <row r="28" spans="1:17" x14ac:dyDescent="0.35">
      <c r="A28" s="4">
        <v>27</v>
      </c>
      <c r="B28" s="4" t="s">
        <v>25</v>
      </c>
      <c r="C28">
        <v>12</v>
      </c>
      <c r="D28" s="5">
        <v>32</v>
      </c>
      <c r="E28" t="s">
        <v>20</v>
      </c>
      <c r="F28" t="s">
        <v>13</v>
      </c>
      <c r="G28" t="s">
        <v>9</v>
      </c>
      <c r="H28" s="17" t="s">
        <v>18</v>
      </c>
      <c r="I28" s="4" t="s">
        <v>23</v>
      </c>
      <c r="J28" s="5">
        <v>4</v>
      </c>
      <c r="K28" s="4">
        <v>0.23400000000000001</v>
      </c>
      <c r="L28">
        <v>10.417</v>
      </c>
      <c r="M28">
        <v>19.065999999999999</v>
      </c>
      <c r="N28" s="8">
        <v>0.152</v>
      </c>
      <c r="O28" s="6">
        <v>5.407</v>
      </c>
      <c r="P28" s="6">
        <f t="shared" si="0"/>
        <v>35.275999999999996</v>
      </c>
      <c r="Q28" s="6">
        <v>2.5179999999999998</v>
      </c>
    </row>
    <row r="29" spans="1:17" x14ac:dyDescent="0.35">
      <c r="A29" s="4">
        <v>28</v>
      </c>
      <c r="B29" s="4" t="s">
        <v>25</v>
      </c>
      <c r="C29">
        <v>12</v>
      </c>
      <c r="D29" s="5">
        <v>32</v>
      </c>
      <c r="E29" t="s">
        <v>20</v>
      </c>
      <c r="F29" t="s">
        <v>13</v>
      </c>
      <c r="G29" t="s">
        <v>9</v>
      </c>
      <c r="H29" s="17" t="s">
        <v>18</v>
      </c>
      <c r="I29" s="4" t="s">
        <v>23</v>
      </c>
      <c r="J29" s="5">
        <v>6</v>
      </c>
      <c r="K29" s="4">
        <v>0.183</v>
      </c>
      <c r="L29">
        <v>10.808999999999999</v>
      </c>
      <c r="M29">
        <v>21.117000000000001</v>
      </c>
      <c r="N29" s="8">
        <v>0.151</v>
      </c>
      <c r="O29" s="6">
        <v>5.6929999999999996</v>
      </c>
      <c r="P29" s="6">
        <f t="shared" si="0"/>
        <v>37.953000000000003</v>
      </c>
      <c r="Q29" s="6">
        <v>2.63</v>
      </c>
    </row>
    <row r="30" spans="1:17" ht="15" thickBot="1" x14ac:dyDescent="0.4">
      <c r="A30" s="9">
        <v>29</v>
      </c>
      <c r="B30" s="4" t="s">
        <v>25</v>
      </c>
      <c r="C30" s="10">
        <v>12</v>
      </c>
      <c r="D30" s="11">
        <v>32</v>
      </c>
      <c r="E30" s="10" t="s">
        <v>20</v>
      </c>
      <c r="F30" s="10" t="s">
        <v>13</v>
      </c>
      <c r="G30" s="10" t="s">
        <v>9</v>
      </c>
      <c r="H30" s="18" t="s">
        <v>18</v>
      </c>
      <c r="I30" s="9" t="s">
        <v>16</v>
      </c>
      <c r="J30" s="11">
        <v>6</v>
      </c>
      <c r="K30" s="9">
        <v>0.21</v>
      </c>
      <c r="L30" s="10">
        <v>10.817</v>
      </c>
      <c r="M30" s="10">
        <v>19.082000000000001</v>
      </c>
      <c r="N30" s="12">
        <v>0.14099999999999999</v>
      </c>
      <c r="O30" s="13">
        <v>5.1260000000000003</v>
      </c>
      <c r="P30" s="13">
        <f t="shared" si="0"/>
        <v>35.375999999999998</v>
      </c>
      <c r="Q30" s="13">
        <v>2.7949999999999999</v>
      </c>
    </row>
    <row r="31" spans="1:17" x14ac:dyDescent="0.35">
      <c r="A31" s="1">
        <v>30</v>
      </c>
      <c r="B31" s="1" t="s">
        <v>21</v>
      </c>
      <c r="C31" s="2">
        <v>12</v>
      </c>
      <c r="D31" s="3">
        <v>64</v>
      </c>
      <c r="E31" s="2" t="s">
        <v>20</v>
      </c>
      <c r="F31" s="2" t="s">
        <v>13</v>
      </c>
      <c r="G31" s="2" t="s">
        <v>9</v>
      </c>
      <c r="H31" s="19" t="s">
        <v>18</v>
      </c>
      <c r="I31" s="1" t="s">
        <v>24</v>
      </c>
      <c r="J31" s="3">
        <v>6</v>
      </c>
      <c r="K31" s="1">
        <v>0.152</v>
      </c>
      <c r="L31" s="2">
        <v>7.3879999999999999</v>
      </c>
      <c r="M31" s="2">
        <v>22.899000000000001</v>
      </c>
      <c r="N31" s="14">
        <v>0.182</v>
      </c>
      <c r="O31" s="7">
        <v>9.0190000000000001</v>
      </c>
      <c r="P31" s="7">
        <f t="shared" si="0"/>
        <v>39.64</v>
      </c>
      <c r="Q31" s="7">
        <v>3.4670000000000001</v>
      </c>
    </row>
    <row r="32" spans="1:17" x14ac:dyDescent="0.35">
      <c r="A32" s="4">
        <v>31</v>
      </c>
      <c r="B32" s="4" t="s">
        <v>21</v>
      </c>
      <c r="C32">
        <v>12</v>
      </c>
      <c r="D32" s="5">
        <v>64</v>
      </c>
      <c r="E32" t="s">
        <v>20</v>
      </c>
      <c r="F32" t="s">
        <v>13</v>
      </c>
      <c r="G32" t="s">
        <v>9</v>
      </c>
      <c r="H32" s="17" t="s">
        <v>18</v>
      </c>
      <c r="I32" s="4" t="s">
        <v>16</v>
      </c>
      <c r="J32" s="5">
        <v>6</v>
      </c>
      <c r="K32" s="4">
        <v>0.17100000000000001</v>
      </c>
      <c r="L32">
        <v>12.227</v>
      </c>
      <c r="M32">
        <v>24.707999999999998</v>
      </c>
      <c r="N32">
        <v>0.13400000000000001</v>
      </c>
      <c r="O32" s="6">
        <v>8.1850000000000005</v>
      </c>
      <c r="P32" s="6">
        <f t="shared" ref="P32:P39" si="1">SUM(K32:O32)</f>
        <v>45.424999999999997</v>
      </c>
      <c r="Q32" s="6">
        <v>3.625</v>
      </c>
    </row>
    <row r="33" spans="1:17" x14ac:dyDescent="0.35">
      <c r="A33" s="4">
        <v>32</v>
      </c>
      <c r="B33" s="4" t="s">
        <v>21</v>
      </c>
      <c r="C33">
        <v>12</v>
      </c>
      <c r="D33" s="5">
        <v>64</v>
      </c>
      <c r="E33" t="s">
        <v>20</v>
      </c>
      <c r="F33" t="s">
        <v>13</v>
      </c>
      <c r="G33" t="s">
        <v>9</v>
      </c>
      <c r="H33" s="17" t="s">
        <v>18</v>
      </c>
      <c r="I33" s="4" t="s">
        <v>16</v>
      </c>
      <c r="J33" s="5">
        <v>6</v>
      </c>
      <c r="K33" s="4">
        <v>0.26800000000000002</v>
      </c>
      <c r="L33">
        <v>15.468999999999999</v>
      </c>
      <c r="M33">
        <v>29.61</v>
      </c>
      <c r="N33" s="8">
        <v>0.161</v>
      </c>
      <c r="O33" s="6">
        <v>8.0559999999999992</v>
      </c>
      <c r="P33" s="6">
        <f t="shared" si="1"/>
        <v>53.564</v>
      </c>
      <c r="Q33" s="6">
        <v>3.5529999999999999</v>
      </c>
    </row>
    <row r="34" spans="1:17" x14ac:dyDescent="0.35">
      <c r="A34" s="4">
        <v>33</v>
      </c>
      <c r="B34" s="4" t="s">
        <v>21</v>
      </c>
      <c r="C34">
        <v>12</v>
      </c>
      <c r="D34" s="5">
        <v>64</v>
      </c>
      <c r="E34" t="s">
        <v>20</v>
      </c>
      <c r="F34" t="s">
        <v>13</v>
      </c>
      <c r="G34" t="s">
        <v>9</v>
      </c>
      <c r="H34" s="17" t="s">
        <v>18</v>
      </c>
      <c r="I34" s="4" t="s">
        <v>16</v>
      </c>
      <c r="J34" s="5">
        <v>6</v>
      </c>
      <c r="K34" s="4">
        <v>0.16600000000000001</v>
      </c>
      <c r="L34">
        <v>7.391</v>
      </c>
      <c r="M34">
        <v>22.753</v>
      </c>
      <c r="N34" s="8">
        <v>0.17399999999999999</v>
      </c>
      <c r="O34" s="6">
        <v>9.7720000000000002</v>
      </c>
      <c r="P34" s="6">
        <f t="shared" si="1"/>
        <v>40.256</v>
      </c>
      <c r="Q34" s="6">
        <v>3.6509999999999998</v>
      </c>
    </row>
    <row r="35" spans="1:17" x14ac:dyDescent="0.35">
      <c r="A35" s="4">
        <v>34</v>
      </c>
      <c r="B35" s="4" t="s">
        <v>21</v>
      </c>
      <c r="C35">
        <v>12</v>
      </c>
      <c r="D35" s="5">
        <v>64</v>
      </c>
      <c r="E35" t="s">
        <v>20</v>
      </c>
      <c r="F35" t="s">
        <v>13</v>
      </c>
      <c r="G35" t="s">
        <v>9</v>
      </c>
      <c r="H35" t="s">
        <v>14</v>
      </c>
      <c r="I35" s="4" t="s">
        <v>16</v>
      </c>
      <c r="J35" s="5">
        <v>6</v>
      </c>
      <c r="K35" s="4">
        <v>0.42699999999999999</v>
      </c>
      <c r="L35">
        <v>17.091000000000001</v>
      </c>
      <c r="M35">
        <v>30.771000000000001</v>
      </c>
      <c r="N35">
        <v>102.983</v>
      </c>
      <c r="O35" s="6">
        <v>7.8109999999999999</v>
      </c>
      <c r="P35" s="6">
        <f t="shared" si="1"/>
        <v>159.083</v>
      </c>
      <c r="Q35" s="6">
        <v>3.7770000000000001</v>
      </c>
    </row>
    <row r="36" spans="1:17" ht="15" thickBot="1" x14ac:dyDescent="0.4">
      <c r="A36" s="9">
        <v>35</v>
      </c>
      <c r="B36" s="9" t="s">
        <v>21</v>
      </c>
      <c r="C36" s="10">
        <v>12</v>
      </c>
      <c r="D36" s="11">
        <v>64</v>
      </c>
      <c r="E36" s="10" t="s">
        <v>20</v>
      </c>
      <c r="F36" s="10" t="s">
        <v>13</v>
      </c>
      <c r="G36" s="10" t="s">
        <v>9</v>
      </c>
      <c r="H36" s="10" t="s">
        <v>14</v>
      </c>
      <c r="I36" s="9" t="s">
        <v>16</v>
      </c>
      <c r="J36" s="11">
        <v>6</v>
      </c>
      <c r="K36" s="9">
        <v>0.218</v>
      </c>
      <c r="L36" s="10">
        <v>13.849</v>
      </c>
      <c r="M36" s="10">
        <v>24.56</v>
      </c>
      <c r="N36" s="10">
        <v>115.295</v>
      </c>
      <c r="O36" s="13">
        <v>7.77</v>
      </c>
      <c r="P36" s="13">
        <f t="shared" si="1"/>
        <v>161.69200000000001</v>
      </c>
      <c r="Q36" s="13">
        <v>3.4279999999999999</v>
      </c>
    </row>
    <row r="37" spans="1:17" x14ac:dyDescent="0.35">
      <c r="A37" s="1">
        <v>36</v>
      </c>
      <c r="B37" s="1" t="s">
        <v>21</v>
      </c>
      <c r="C37" s="2">
        <v>12</v>
      </c>
      <c r="D37" s="3">
        <v>64</v>
      </c>
      <c r="E37" s="2" t="s">
        <v>20</v>
      </c>
      <c r="F37" s="2" t="s">
        <v>13</v>
      </c>
      <c r="G37" s="2" t="s">
        <v>2</v>
      </c>
      <c r="H37" s="19" t="s">
        <v>18</v>
      </c>
      <c r="I37" s="1" t="s">
        <v>16</v>
      </c>
      <c r="J37" s="3">
        <v>6</v>
      </c>
      <c r="K37" s="1">
        <v>0.25600000000000001</v>
      </c>
      <c r="L37" s="2">
        <v>15.449</v>
      </c>
      <c r="M37" s="2">
        <v>28.742999999999999</v>
      </c>
      <c r="N37" s="14">
        <v>0.217</v>
      </c>
      <c r="O37" s="7">
        <v>8.6549999999999994</v>
      </c>
      <c r="P37" s="7">
        <f t="shared" si="1"/>
        <v>53.32</v>
      </c>
      <c r="Q37" s="7">
        <v>4.1109999999999998</v>
      </c>
    </row>
    <row r="38" spans="1:17" x14ac:dyDescent="0.35">
      <c r="A38" s="4">
        <v>19</v>
      </c>
      <c r="B38" s="4" t="s">
        <v>21</v>
      </c>
      <c r="C38">
        <v>12</v>
      </c>
      <c r="D38" s="5">
        <v>64</v>
      </c>
      <c r="E38" t="s">
        <v>20</v>
      </c>
      <c r="F38" t="s">
        <v>13</v>
      </c>
      <c r="G38" t="s">
        <v>2</v>
      </c>
      <c r="H38" s="17" t="s">
        <v>18</v>
      </c>
      <c r="I38" s="4" t="s">
        <v>16</v>
      </c>
      <c r="J38" s="33">
        <v>6</v>
      </c>
      <c r="K38" s="4">
        <v>0.154</v>
      </c>
      <c r="L38">
        <v>8.2780000000000005</v>
      </c>
      <c r="M38">
        <v>24.529</v>
      </c>
      <c r="N38" s="8">
        <v>0.24199999999999999</v>
      </c>
      <c r="O38" s="6">
        <v>9.5410000000000004</v>
      </c>
      <c r="P38" s="6">
        <f t="shared" si="1"/>
        <v>42.744</v>
      </c>
      <c r="Q38" s="6">
        <v>4.7480000000000002</v>
      </c>
    </row>
    <row r="39" spans="1:17" ht="15" thickBot="1" x14ac:dyDescent="0.4">
      <c r="A39" s="9">
        <v>37</v>
      </c>
      <c r="B39" s="9" t="s">
        <v>21</v>
      </c>
      <c r="C39" s="10">
        <v>12</v>
      </c>
      <c r="D39" s="11">
        <v>64</v>
      </c>
      <c r="E39" s="10" t="s">
        <v>20</v>
      </c>
      <c r="F39" s="10" t="s">
        <v>13</v>
      </c>
      <c r="G39" s="10" t="s">
        <v>2</v>
      </c>
      <c r="H39" s="18" t="s">
        <v>18</v>
      </c>
      <c r="I39" s="9" t="s">
        <v>16</v>
      </c>
      <c r="J39" s="11">
        <v>6</v>
      </c>
      <c r="K39" s="9">
        <v>0.17499999999999999</v>
      </c>
      <c r="L39" s="10">
        <v>13.488</v>
      </c>
      <c r="M39" s="10">
        <v>22.908000000000001</v>
      </c>
      <c r="N39" s="12">
        <v>0.20300000000000001</v>
      </c>
      <c r="O39" s="13">
        <v>8.0310000000000006</v>
      </c>
      <c r="P39" s="13">
        <f t="shared" si="1"/>
        <v>44.805</v>
      </c>
      <c r="Q39" s="13">
        <v>3.6019999999999999</v>
      </c>
    </row>
  </sheetData>
  <mergeCells count="5">
    <mergeCell ref="B1:D1"/>
    <mergeCell ref="E1:H1"/>
    <mergeCell ref="P1:Q1"/>
    <mergeCell ref="K1:N1"/>
    <mergeCell ref="I1:J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Container Specs</vt:lpstr>
      <vt:lpstr>podman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Hassan</dc:creator>
  <cp:lastModifiedBy>Ahmed Hassan</cp:lastModifiedBy>
  <dcterms:created xsi:type="dcterms:W3CDTF">2025-12-02T02:49:06Z</dcterms:created>
  <dcterms:modified xsi:type="dcterms:W3CDTF">2025-12-04T17:20:52Z</dcterms:modified>
</cp:coreProperties>
</file>